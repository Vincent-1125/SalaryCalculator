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00" windowHeight="14120"/>
  </bookViews>
  <sheets>
    <sheet name="Annual salary calculator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<sst xmlns="http://schemas.openxmlformats.org/spreadsheetml/2006/main" count="112" uniqueCount="79">
  <si>
    <t>年总包和到手薪资计算</t>
  </si>
  <si>
    <t>变量配置</t>
  </si>
  <si>
    <t>每月缴纳个税金额计算</t>
  </si>
  <si>
    <t>项目</t>
  </si>
  <si>
    <t>金额</t>
  </si>
  <si>
    <t>计算方式</t>
  </si>
  <si>
    <t>月份</t>
  </si>
  <si>
    <t>工资</t>
  </si>
  <si>
    <t>累计应纳税所得额</t>
  </si>
  <si>
    <t>累计应纳税额</t>
  </si>
  <si>
    <t>本月纳税额</t>
  </si>
  <si>
    <t>本月到手</t>
  </si>
  <si>
    <t>每月应纳税所得额扣除</t>
  </si>
  <si>
    <t xml:space="preserve"> </t>
  </si>
  <si>
    <t>月薪</t>
  </si>
  <si>
    <t>年终</t>
  </si>
  <si>
    <t>津贴（年）</t>
  </si>
  <si>
    <t>总包</t>
  </si>
  <si>
    <t>工资期数</t>
  </si>
  <si>
    <t>年终期数</t>
  </si>
  <si>
    <t>应纳税所得额（工资）</t>
  </si>
  <si>
    <t>专项扣除</t>
  </si>
  <si>
    <t>应纳税所得额（年终）</t>
  </si>
  <si>
    <t>公积金缴存比例</t>
  </si>
  <si>
    <t>应纳税额（工资）</t>
  </si>
  <si>
    <t>应纳税额（年终）</t>
  </si>
  <si>
    <t>专项扣除配置</t>
  </si>
  <si>
    <t>每年缴纳五险</t>
  </si>
  <si>
    <t>金额（每月）</t>
  </si>
  <si>
    <t>每年缴纳养老保险</t>
  </si>
  <si>
    <t>子女教育扣除</t>
  </si>
  <si>
    <t>不符合，扣除0元</t>
  </si>
  <si>
    <t>每年缴纳医疗保险</t>
  </si>
  <si>
    <t>继续教育扣除</t>
  </si>
  <si>
    <t>每年缴纳失业保险</t>
  </si>
  <si>
    <t>赡养老人扣除</t>
  </si>
  <si>
    <t>每年缴纳公积金</t>
  </si>
  <si>
    <t>住房贷款利息扣除</t>
  </si>
  <si>
    <t>住房租金扣除</t>
  </si>
  <si>
    <t>直辖市、省会城市、计划单列市等，扣除1500元</t>
  </si>
  <si>
    <t>到手（含公积金）</t>
  </si>
  <si>
    <t>3岁以下婴幼儿照护</t>
  </si>
  <si>
    <t>个人养老金</t>
  </si>
  <si>
    <t>共计（年）</t>
  </si>
  <si>
    <t>五险一金配置</t>
  </si>
  <si>
    <t>常量</t>
  </si>
  <si>
    <t>社保缴费基数上限</t>
  </si>
  <si>
    <t>社保缴费基数下限</t>
  </si>
  <si>
    <t>公积金缴存基数上限</t>
  </si>
  <si>
    <t>公积金缴存基数下限</t>
  </si>
  <si>
    <t>免征额</t>
  </si>
  <si>
    <t>社保缴费比例</t>
  </si>
  <si>
    <t>养老保险个人缴纳比例</t>
  </si>
  <si>
    <t>医疗保险个人缴纳比例</t>
  </si>
  <si>
    <t>失业保险个人缴纳比例</t>
  </si>
  <si>
    <t>全年应纳税所得额</t>
  </si>
  <si>
    <t>税率（%）</t>
  </si>
  <si>
    <t>速算扣除数</t>
  </si>
  <si>
    <t>北京</t>
  </si>
  <si>
    <t>上海</t>
  </si>
  <si>
    <t>广州</t>
  </si>
  <si>
    <t>深圳</t>
  </si>
  <si>
    <t>杭州</t>
  </si>
  <si>
    <t>社保缴纳基数上限</t>
  </si>
  <si>
    <t>社保缴纳基数下限</t>
  </si>
  <si>
    <t>一个孩子，夫妻各扣除1000元</t>
  </si>
  <si>
    <t>接受学历教育中，扣除400</t>
  </si>
  <si>
    <t>独生子女，扣除3000元</t>
  </si>
  <si>
    <t>夫妻各扣除500元</t>
  </si>
  <si>
    <t>所在城市户籍人口少于100万，扣除800元</t>
  </si>
  <si>
    <t>一方扣除2000元</t>
  </si>
  <si>
    <t>一个孩子，仅有一方扣除2000元</t>
  </si>
  <si>
    <t>两兄弟姐妹分摊，扣除1500元</t>
  </si>
  <si>
    <t>仅由一方扣除1000元</t>
  </si>
  <si>
    <t>所在城市户籍人口超过100万，扣除1100元</t>
  </si>
  <si>
    <t>夫妻各扣除1000元</t>
  </si>
  <si>
    <t>两个孩子，夫妻各扣除2000元</t>
  </si>
  <si>
    <t>三兄弟姐妹分摊，扣除1000元</t>
  </si>
  <si>
    <t>两个孩子，仅有一方扣除4000元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</si>
</sst>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b/>
      <sz val="14"/>
      <color theme="3" tint="-0.249977111117893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3" tint="-0.249977111117893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00B05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color theme="0" tint="-0.149998474074526"/>
      <name val="宋体"/>
      <charset val="134"/>
      <scheme val="minor"/>
    </font>
    <font>
      <sz val="12"/>
      <color rgb="FF00B050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3" borderId="12" applyNumberFormat="0" applyAlignment="0" applyProtection="0">
      <alignment vertical="center"/>
    </xf>
    <xf numFmtId="0" fontId="26" fillId="14" borderId="13" applyNumberFormat="0" applyAlignment="0" applyProtection="0">
      <alignment vertical="center"/>
    </xf>
    <xf numFmtId="0" fontId="27" fillId="14" borderId="12" applyNumberFormat="0" applyAlignment="0" applyProtection="0">
      <alignment vertical="center"/>
    </xf>
    <xf numFmtId="0" fontId="28" fillId="15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9" fontId="1" fillId="0" borderId="0" xfId="3" applyFont="1" applyAlignment="1">
      <alignment horizontal="right" vertical="center"/>
    </xf>
    <xf numFmtId="0" fontId="1" fillId="0" borderId="0" xfId="0" applyFont="1">
      <alignment vertical="center"/>
    </xf>
    <xf numFmtId="9" fontId="1" fillId="0" borderId="0" xfId="3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3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7" fillId="2" borderId="4" xfId="0" applyFont="1" applyFill="1" applyBorder="1">
      <alignment vertical="center"/>
    </xf>
    <xf numFmtId="0" fontId="8" fillId="3" borderId="3" xfId="0" applyFont="1" applyFill="1" applyBorder="1">
      <alignment vertical="center"/>
    </xf>
    <xf numFmtId="0" fontId="9" fillId="3" borderId="4" xfId="0" applyFont="1" applyFill="1" applyBorder="1">
      <alignment vertical="center"/>
    </xf>
    <xf numFmtId="0" fontId="3" fillId="3" borderId="4" xfId="0" applyFont="1" applyFill="1" applyBorder="1" applyAlignment="1">
      <alignment horizontal="right" vertical="center"/>
    </xf>
    <xf numFmtId="0" fontId="8" fillId="3" borderId="4" xfId="0" applyFont="1" applyFill="1" applyBorder="1">
      <alignment vertical="center"/>
    </xf>
    <xf numFmtId="176" fontId="8" fillId="3" borderId="4" xfId="0" applyNumberFormat="1" applyFont="1" applyFill="1" applyBorder="1">
      <alignment vertical="center"/>
    </xf>
    <xf numFmtId="176" fontId="10" fillId="3" borderId="4" xfId="0" applyNumberFormat="1" applyFont="1" applyFill="1" applyBorder="1">
      <alignment vertical="center"/>
    </xf>
    <xf numFmtId="0" fontId="10" fillId="3" borderId="4" xfId="0" applyFont="1" applyFill="1" applyBorder="1">
      <alignment vertical="center"/>
    </xf>
    <xf numFmtId="0" fontId="8" fillId="3" borderId="5" xfId="0" applyFont="1" applyFill="1" applyBorder="1">
      <alignment vertical="center"/>
    </xf>
    <xf numFmtId="176" fontId="11" fillId="3" borderId="6" xfId="0" applyNumberFormat="1" applyFont="1" applyFill="1" applyBorder="1">
      <alignment vertical="center"/>
    </xf>
    <xf numFmtId="0" fontId="3" fillId="3" borderId="6" xfId="0" applyFont="1" applyFill="1" applyBorder="1" applyAlignment="1">
      <alignment horizontal="right" vertical="center"/>
    </xf>
    <xf numFmtId="0" fontId="12" fillId="0" borderId="0" xfId="0" applyFont="1">
      <alignment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>
      <alignment vertical="center"/>
    </xf>
    <xf numFmtId="0" fontId="12" fillId="4" borderId="4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13" fillId="5" borderId="4" xfId="0" applyFont="1" applyFill="1" applyBorder="1" applyAlignment="1">
      <alignment horizontal="right" vertical="center"/>
    </xf>
    <xf numFmtId="0" fontId="3" fillId="5" borderId="5" xfId="0" applyFont="1" applyFill="1" applyBorder="1">
      <alignment vertical="center"/>
    </xf>
    <xf numFmtId="9" fontId="13" fillId="5" borderId="6" xfId="3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3" xfId="0" applyFont="1" applyFill="1" applyBorder="1">
      <alignment vertical="center"/>
    </xf>
    <xf numFmtId="0" fontId="12" fillId="6" borderId="4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3" fillId="7" borderId="4" xfId="0" applyFont="1" applyFill="1" applyBorder="1" applyAlignment="1">
      <alignment horizontal="right" vertical="center"/>
    </xf>
    <xf numFmtId="0" fontId="14" fillId="0" borderId="0" xfId="0" applyFont="1">
      <alignment vertical="center"/>
    </xf>
    <xf numFmtId="0" fontId="3" fillId="7" borderId="5" xfId="0" applyFont="1" applyFill="1" applyBorder="1">
      <alignment vertical="center"/>
    </xf>
    <xf numFmtId="0" fontId="3" fillId="7" borderId="6" xfId="0" applyFont="1" applyFill="1" applyBorder="1" applyAlignment="1">
      <alignment horizontal="right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3" xfId="0" applyFont="1" applyFill="1" applyBorder="1">
      <alignment vertical="center"/>
    </xf>
    <xf numFmtId="0" fontId="12" fillId="8" borderId="4" xfId="0" applyFont="1" applyFill="1" applyBorder="1">
      <alignment vertical="center"/>
    </xf>
    <xf numFmtId="0" fontId="3" fillId="9" borderId="3" xfId="0" applyFont="1" applyFill="1" applyBorder="1">
      <alignment vertical="center"/>
    </xf>
    <xf numFmtId="0" fontId="3" fillId="9" borderId="4" xfId="0" applyFont="1" applyFill="1" applyBorder="1" applyAlignment="1">
      <alignment horizontal="right" vertical="center"/>
    </xf>
    <xf numFmtId="177" fontId="3" fillId="9" borderId="4" xfId="0" applyNumberFormat="1" applyFont="1" applyFill="1" applyBorder="1" applyAlignment="1">
      <alignment horizontal="right" vertical="center"/>
    </xf>
    <xf numFmtId="9" fontId="3" fillId="9" borderId="4" xfId="3" applyFont="1" applyFill="1" applyBorder="1">
      <alignment vertical="center"/>
    </xf>
    <xf numFmtId="0" fontId="3" fillId="9" borderId="5" xfId="0" applyFont="1" applyFill="1" applyBorder="1">
      <alignment vertical="center"/>
    </xf>
    <xf numFmtId="177" fontId="3" fillId="9" borderId="6" xfId="3" applyNumberFormat="1" applyFont="1" applyFill="1" applyBorder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Border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12" fillId="10" borderId="3" xfId="0" applyFont="1" applyFill="1" applyBorder="1">
      <alignment vertical="center"/>
    </xf>
    <xf numFmtId="0" fontId="12" fillId="10" borderId="0" xfId="0" applyFont="1" applyFill="1" applyBorder="1">
      <alignment vertical="center"/>
    </xf>
    <xf numFmtId="0" fontId="13" fillId="10" borderId="0" xfId="0" applyFont="1" applyFill="1" applyBorder="1">
      <alignment vertical="center"/>
    </xf>
    <xf numFmtId="0" fontId="3" fillId="11" borderId="3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" fontId="4" fillId="11" borderId="0" xfId="0" applyNumberFormat="1" applyFont="1" applyFill="1" applyBorder="1">
      <alignment vertical="center"/>
    </xf>
    <xf numFmtId="0" fontId="3" fillId="11" borderId="5" xfId="0" applyFont="1" applyFill="1" applyBorder="1">
      <alignment vertical="center"/>
    </xf>
    <xf numFmtId="0" fontId="3" fillId="11" borderId="8" xfId="0" applyFont="1" applyFill="1" applyBorder="1">
      <alignment vertical="center"/>
    </xf>
    <xf numFmtId="1" fontId="4" fillId="11" borderId="8" xfId="0" applyNumberFormat="1" applyFont="1" applyFill="1" applyBorder="1">
      <alignment vertical="center"/>
    </xf>
    <xf numFmtId="0" fontId="12" fillId="10" borderId="2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1" fontId="15" fillId="11" borderId="0" xfId="0" applyNumberFormat="1" applyFont="1" applyFill="1" applyBorder="1">
      <alignment vertical="center"/>
    </xf>
    <xf numFmtId="1" fontId="16" fillId="11" borderId="0" xfId="0" applyNumberFormat="1" applyFont="1" applyFill="1" applyBorder="1">
      <alignment vertical="center"/>
    </xf>
    <xf numFmtId="2" fontId="3" fillId="11" borderId="4" xfId="0" applyNumberFormat="1" applyFont="1" applyFill="1" applyBorder="1">
      <alignment vertical="center"/>
    </xf>
    <xf numFmtId="0" fontId="3" fillId="11" borderId="4" xfId="0" applyFont="1" applyFill="1" applyBorder="1">
      <alignment vertical="center"/>
    </xf>
    <xf numFmtId="1" fontId="15" fillId="11" borderId="8" xfId="0" applyNumberFormat="1" applyFont="1" applyFill="1" applyBorder="1">
      <alignment vertical="center"/>
    </xf>
    <xf numFmtId="1" fontId="16" fillId="11" borderId="8" xfId="0" applyNumberFormat="1" applyFont="1" applyFill="1" applyBorder="1">
      <alignment vertical="center"/>
    </xf>
    <xf numFmtId="0" fontId="3" fillId="11" borderId="6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B633B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81280</xdr:colOff>
      <xdr:row>19</xdr:row>
      <xdr:rowOff>133350</xdr:rowOff>
    </xdr:from>
    <xdr:to>
      <xdr:col>3</xdr:col>
      <xdr:colOff>2589530</xdr:colOff>
      <xdr:row>28</xdr:row>
      <xdr:rowOff>12700</xdr:rowOff>
    </xdr:to>
    <xdr:sp>
      <xdr:nvSpPr>
        <xdr:cNvPr id="4" name="文本框 3"/>
        <xdr:cNvSpPr txBox="1"/>
      </xdr:nvSpPr>
      <xdr:spPr>
        <a:xfrm>
          <a:off x="334645" y="4895850"/>
          <a:ext cx="5579110" cy="191960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600">
              <a:solidFill>
                <a:srgbClr val="FF0000"/>
              </a:solidFill>
            </a:rPr>
            <a:t>使用说明：</a:t>
          </a:r>
          <a:endParaRPr lang="en-US" altLang="zh-CN" sz="1600">
            <a:solidFill>
              <a:srgbClr val="FF0000"/>
            </a:solidFill>
          </a:endParaRPr>
        </a:p>
        <a:p>
          <a:pPr algn="l"/>
          <a:r>
            <a:rPr lang="en-US" altLang="zh-CN" sz="1600">
              <a:solidFill>
                <a:srgbClr val="FF0000"/>
              </a:solidFill>
            </a:rPr>
            <a:t>1. 在变量处根据情况填写金额，如月薪，专项扣除额，左侧计算过程和结果会自动变化。</a:t>
          </a:r>
          <a:endParaRPr lang="en-US" altLang="zh-CN" sz="1600">
            <a:solidFill>
              <a:srgbClr val="FF0000"/>
            </a:solidFill>
          </a:endParaRPr>
        </a:p>
        <a:p>
          <a:pPr algn="l"/>
          <a:r>
            <a:rPr lang="en-US" altLang="zh-CN" sz="1600">
              <a:solidFill>
                <a:srgbClr val="FF0000"/>
              </a:solidFill>
            </a:rPr>
            <a:t>2. 在常量处可根据不同城市的社保公积金缴纳范围进行更改。</a:t>
          </a:r>
          <a:endParaRPr lang="en-US" altLang="zh-CN" sz="1600">
            <a:solidFill>
              <a:srgbClr val="FF0000"/>
            </a:solidFill>
          </a:endParaRPr>
        </a:p>
        <a:p>
          <a:pPr algn="l"/>
          <a:r>
            <a:rPr lang="en-US" altLang="zh-CN" sz="1600">
              <a:solidFill>
                <a:srgbClr val="FF0000"/>
              </a:solidFill>
            </a:rPr>
            <a:t>3. 右滑可计算每月实缴个人所得税情况。</a:t>
          </a:r>
          <a:endParaRPr lang="en-US" altLang="zh-CN" sz="16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1"/>
  <sheetViews>
    <sheetView tabSelected="1" zoomScale="88" zoomScaleNormal="88" workbookViewId="0">
      <selection activeCell="J19" sqref="J19"/>
    </sheetView>
  </sheetViews>
  <sheetFormatPr defaultColWidth="9.16346153846154" defaultRowHeight="17.6"/>
  <cols>
    <col min="1" max="1" width="3.83653846153846" style="8" customWidth="1"/>
    <col min="2" max="2" width="27.1634615384615" style="8" customWidth="1"/>
    <col min="3" max="3" width="19.3365384615385" style="8" customWidth="1"/>
    <col min="4" max="4" width="40.0576923076923" style="9" customWidth="1"/>
    <col min="5" max="5" width="14.0192307692308" style="8" customWidth="1"/>
    <col min="6" max="6" width="28.9519230769231" style="8" customWidth="1"/>
    <col min="7" max="7" width="15.6634615384615" style="9" customWidth="1"/>
    <col min="8" max="8" width="10" style="8" customWidth="1"/>
    <col min="9" max="9" width="6.16346153846154" style="8" customWidth="1"/>
    <col min="10" max="17" width="10.8365384615385" style="8" customWidth="1"/>
    <col min="18" max="18" width="11.5" style="8" customWidth="1"/>
    <col min="19" max="19" width="9.16346153846154" style="8"/>
    <col min="20" max="20" width="18.3365384615385" style="10" customWidth="1"/>
    <col min="21" max="21" width="13" style="8" customWidth="1"/>
    <col min="22" max="22" width="11.6634615384615" style="8" customWidth="1"/>
    <col min="23" max="16384" width="9.16346153846154" style="8"/>
  </cols>
  <sheetData>
    <row r="1" ht="14" customHeight="1" spans="20:21">
      <c r="T1" s="8"/>
      <c r="U1" s="10"/>
    </row>
    <row r="2" ht="14" customHeight="1" spans="2:21">
      <c r="B2" s="11" t="s">
        <v>0</v>
      </c>
      <c r="C2" s="12"/>
      <c r="D2" s="12"/>
      <c r="E2" s="26"/>
      <c r="F2" s="27" t="s">
        <v>1</v>
      </c>
      <c r="G2" s="28"/>
      <c r="J2" s="56" t="s">
        <v>2</v>
      </c>
      <c r="K2" s="57"/>
      <c r="L2" s="57"/>
      <c r="M2" s="57"/>
      <c r="N2" s="57"/>
      <c r="O2" s="57"/>
      <c r="P2" s="67"/>
      <c r="T2" s="8"/>
      <c r="U2" s="10"/>
    </row>
    <row r="3" ht="20.4" spans="2:21">
      <c r="B3" s="13" t="s">
        <v>3</v>
      </c>
      <c r="C3" s="14" t="s">
        <v>4</v>
      </c>
      <c r="D3" s="15" t="s">
        <v>5</v>
      </c>
      <c r="F3" s="29" t="s">
        <v>3</v>
      </c>
      <c r="G3" s="30" t="s">
        <v>4</v>
      </c>
      <c r="J3" s="58" t="s">
        <v>6</v>
      </c>
      <c r="K3" s="59" t="s">
        <v>7</v>
      </c>
      <c r="L3" s="60" t="s">
        <v>8</v>
      </c>
      <c r="M3" s="60" t="s">
        <v>9</v>
      </c>
      <c r="N3" s="60" t="s">
        <v>10</v>
      </c>
      <c r="O3" s="60" t="s">
        <v>11</v>
      </c>
      <c r="P3" s="68" t="s">
        <v>12</v>
      </c>
      <c r="Q3" s="8" t="s">
        <v>13</v>
      </c>
      <c r="T3" s="8"/>
      <c r="U3" s="10"/>
    </row>
    <row r="4" ht="20.4" spans="2:21">
      <c r="B4" s="16" t="s">
        <v>7</v>
      </c>
      <c r="C4" s="17">
        <f>G4*G6+G5</f>
        <v>254400</v>
      </c>
      <c r="D4" s="18" t="str">
        <f>TEXT(G4,"0")&amp;" × "&amp;TEXT(G6,"0")&amp;" + "&amp;TEXT(G5,"0")</f>
        <v>20000 × 12 + 14400</v>
      </c>
      <c r="F4" s="31" t="s">
        <v>14</v>
      </c>
      <c r="G4" s="32">
        <v>20000</v>
      </c>
      <c r="J4" s="61">
        <v>1</v>
      </c>
      <c r="K4" s="62">
        <f>$G$4</f>
        <v>20000</v>
      </c>
      <c r="L4" s="63">
        <f>SUM($K$4:$K4)-$P$4*J4</f>
        <v>9000</v>
      </c>
      <c r="M4" s="63">
        <f>MAX(0,L4)*VLOOKUP(MAX(0,L4),Info!$A$1:$C$8,2,TRUE)-VLOOKUP(MAX(0,L4),Info!$A$1:$C$8,3,TRUE)</f>
        <v>270</v>
      </c>
      <c r="N4" s="69">
        <f t="shared" ref="N4:N15" si="0">M4-IF(J4=1,0,M3)</f>
        <v>270</v>
      </c>
      <c r="O4" s="70">
        <f>K4-N4-($C$12+$C$16)/12</f>
        <v>15230</v>
      </c>
      <c r="P4" s="71">
        <f>5000+$G$20+($C$12+$C$16)/12</f>
        <v>11000</v>
      </c>
      <c r="T4" s="8"/>
      <c r="U4" s="10"/>
    </row>
    <row r="5" ht="20.4" spans="2:21">
      <c r="B5" s="16" t="s">
        <v>15</v>
      </c>
      <c r="C5" s="17">
        <f>G4*G7</f>
        <v>80000</v>
      </c>
      <c r="D5" s="18" t="str">
        <f>TEXT(G4,"0")&amp;" × "&amp;TEXT(3,"0")</f>
        <v>20000 × 3</v>
      </c>
      <c r="F5" s="31" t="s">
        <v>16</v>
      </c>
      <c r="G5" s="32">
        <v>14400</v>
      </c>
      <c r="J5" s="61">
        <v>2</v>
      </c>
      <c r="K5" s="62">
        <f>$G$4</f>
        <v>20000</v>
      </c>
      <c r="L5" s="63">
        <f>SUM($K$4:$K5)-$P$4*J5</f>
        <v>18000</v>
      </c>
      <c r="M5" s="63">
        <f>MAX(0,L5)*VLOOKUP(MAX(0,L5),Info!$A$1:$C$8,2,TRUE)-VLOOKUP(MAX(0,L5),Info!$A$1:$C$8,3,TRUE)</f>
        <v>540</v>
      </c>
      <c r="N5" s="69">
        <f t="shared" si="0"/>
        <v>270</v>
      </c>
      <c r="O5" s="70">
        <f t="shared" ref="O5:O15" si="1">K5-N5-($C$12+$C$16)/12</f>
        <v>15230</v>
      </c>
      <c r="P5" s="72"/>
      <c r="T5" s="8"/>
      <c r="U5" s="10"/>
    </row>
    <row r="6" ht="20.4" spans="2:21">
      <c r="B6" s="16" t="s">
        <v>17</v>
      </c>
      <c r="C6" s="17">
        <f>C4+C5</f>
        <v>334400</v>
      </c>
      <c r="D6" s="18" t="str">
        <f>TEXT(C4,"0")&amp;" + "&amp;TEXT(C5,"0")</f>
        <v>254400 + 80000</v>
      </c>
      <c r="F6" s="31" t="s">
        <v>18</v>
      </c>
      <c r="G6" s="32">
        <v>12</v>
      </c>
      <c r="J6" s="61">
        <v>3</v>
      </c>
      <c r="K6" s="62">
        <f t="shared" ref="K6:K15" si="2">K5</f>
        <v>20000</v>
      </c>
      <c r="L6" s="63">
        <f>SUM($K$4:$K6)-$P$4*J6</f>
        <v>27000</v>
      </c>
      <c r="M6" s="63">
        <f>MAX(0,L6)*VLOOKUP(MAX(0,L6),Info!$A$1:$C$8,2,TRUE)-VLOOKUP(MAX(0,L6),Info!$A$1:$C$8,3,TRUE)</f>
        <v>810</v>
      </c>
      <c r="N6" s="69">
        <f t="shared" si="0"/>
        <v>270</v>
      </c>
      <c r="O6" s="70">
        <f t="shared" si="1"/>
        <v>15230</v>
      </c>
      <c r="P6" s="72"/>
      <c r="T6" s="8"/>
      <c r="U6" s="10"/>
    </row>
    <row r="7" ht="20.4" spans="2:21">
      <c r="B7" s="16"/>
      <c r="C7" s="19"/>
      <c r="D7" s="18"/>
      <c r="F7" s="31" t="s">
        <v>19</v>
      </c>
      <c r="G7" s="32">
        <v>4</v>
      </c>
      <c r="J7" s="61">
        <v>4</v>
      </c>
      <c r="K7" s="62">
        <f t="shared" si="2"/>
        <v>20000</v>
      </c>
      <c r="L7" s="63">
        <f>SUM($K$4:$K7)-$P$4*J7</f>
        <v>36000</v>
      </c>
      <c r="M7" s="63">
        <f>MAX(0,L7)*VLOOKUP(MAX(0,L7),Info!$A$1:$C$8,2,TRUE)-VLOOKUP(MAX(0,L7),Info!$A$1:$C$8,3,TRUE)</f>
        <v>1080</v>
      </c>
      <c r="N7" s="69">
        <f t="shared" si="0"/>
        <v>270</v>
      </c>
      <c r="O7" s="70">
        <f t="shared" si="1"/>
        <v>15230</v>
      </c>
      <c r="P7" s="72"/>
      <c r="T7" s="8"/>
      <c r="U7" s="10"/>
    </row>
    <row r="8" ht="20.4" spans="2:21">
      <c r="B8" s="16" t="s">
        <v>20</v>
      </c>
      <c r="C8" s="20">
        <f>MAX(0,C4-G28-G8-C12-C16)</f>
        <v>122400</v>
      </c>
      <c r="D8" s="18" t="str">
        <f>TEXT(C4,"0")&amp;" - "&amp;TEXT(G28,"0")&amp;" - "&amp;TEXT(G8,"0")&amp;" - "&amp;TEXT(C12,"0")&amp;" - "&amp;TEXT(C16,"0")</f>
        <v>254400 - 60000 - 18000 - 25200 - 28800</v>
      </c>
      <c r="F8" s="31" t="s">
        <v>21</v>
      </c>
      <c r="G8" s="32">
        <f>G20*12</f>
        <v>18000</v>
      </c>
      <c r="H8" s="10"/>
      <c r="J8" s="61">
        <v>5</v>
      </c>
      <c r="K8" s="62">
        <f t="shared" si="2"/>
        <v>20000</v>
      </c>
      <c r="L8" s="63">
        <f>SUM($K$4:$K8)-$P$4*J8</f>
        <v>45000</v>
      </c>
      <c r="M8" s="63">
        <f>MAX(0,L8)*VLOOKUP(MAX(0,L8),Info!$A$1:$C$8,2,TRUE)-VLOOKUP(MAX(0,L8),Info!$A$1:$C$8,3,TRUE)</f>
        <v>1980</v>
      </c>
      <c r="N8" s="69">
        <f t="shared" si="0"/>
        <v>900</v>
      </c>
      <c r="O8" s="70">
        <f t="shared" si="1"/>
        <v>14600</v>
      </c>
      <c r="P8" s="72"/>
      <c r="T8" s="8"/>
      <c r="U8" s="10"/>
    </row>
    <row r="9" ht="21.15" spans="2:21">
      <c r="B9" s="16" t="s">
        <v>22</v>
      </c>
      <c r="C9" s="19">
        <f>MAX(0,C5)</f>
        <v>80000</v>
      </c>
      <c r="D9" s="18" t="str">
        <f>TEXT(C9,"0")</f>
        <v>80000</v>
      </c>
      <c r="F9" s="33" t="s">
        <v>23</v>
      </c>
      <c r="G9" s="34">
        <v>0.12</v>
      </c>
      <c r="J9" s="61">
        <v>6</v>
      </c>
      <c r="K9" s="62">
        <f t="shared" si="2"/>
        <v>20000</v>
      </c>
      <c r="L9" s="63">
        <f>SUM($K$4:$K9)-$P$4*J9</f>
        <v>54000</v>
      </c>
      <c r="M9" s="63">
        <f>MAX(0,L9)*VLOOKUP(MAX(0,L9),Info!$A$1:$C$8,2,TRUE)-VLOOKUP(MAX(0,L9),Info!$A$1:$C$8,3,TRUE)</f>
        <v>2880</v>
      </c>
      <c r="N9" s="69">
        <f t="shared" si="0"/>
        <v>900</v>
      </c>
      <c r="O9" s="70">
        <f t="shared" si="1"/>
        <v>14600</v>
      </c>
      <c r="P9" s="72"/>
      <c r="T9" s="8"/>
      <c r="U9" s="10"/>
    </row>
    <row r="10" ht="21.15" spans="2:21">
      <c r="B10" s="16" t="s">
        <v>24</v>
      </c>
      <c r="C10" s="21">
        <f>C8*VLOOKUP(C8,Info!$A$2:$C$8,2,TRUE)-VLOOKUP(C8,Info!$A$2:$C$8,3,TRUE)</f>
        <v>9720</v>
      </c>
      <c r="D10" s="18" t="str">
        <f>TEXT(C8,"0")&amp;" × "&amp;TEXT(VLOOKUP(C8,Info!A1:C8,2,TRUE),"0%")&amp;" - "&amp;TEXT(VLOOKUP(C8,Info!A1:C8,3,TRUE),"0")</f>
        <v>122400 × 10% - 2520</v>
      </c>
      <c r="J10" s="61">
        <v>7</v>
      </c>
      <c r="K10" s="62">
        <f t="shared" si="2"/>
        <v>20000</v>
      </c>
      <c r="L10" s="63">
        <f>SUM($K$4:$K10)-$P$4*J10</f>
        <v>63000</v>
      </c>
      <c r="M10" s="63">
        <f>MAX(0,L10)*VLOOKUP(MAX(0,L10),Info!$A$1:$C$8,2,TRUE)-VLOOKUP(MAX(0,L10),Info!$A$1:$C$8,3,TRUE)</f>
        <v>3780</v>
      </c>
      <c r="N10" s="69">
        <f t="shared" si="0"/>
        <v>900</v>
      </c>
      <c r="O10" s="70">
        <f t="shared" si="1"/>
        <v>14600</v>
      </c>
      <c r="P10" s="72"/>
      <c r="T10" s="8"/>
      <c r="U10" s="10"/>
    </row>
    <row r="11" ht="20.4" spans="2:21">
      <c r="B11" s="16" t="s">
        <v>25</v>
      </c>
      <c r="C11" s="22">
        <f>C5*VLOOKUP(C5,Info!A12:C18,2,TRUE)-VLOOKUP(C5,Info!A12:C18,3,TRUE)</f>
        <v>7790</v>
      </c>
      <c r="D11" s="18" t="str">
        <f>TEXT(C5,"0")&amp;" × "&amp;TEXT(VLOOKUP(C5,Info!A12:C18,2,TRUE),"0%")&amp;" - "&amp;TEXT(VLOOKUP(C5,Info!A12:C18,3,TRUE),"0")</f>
        <v>80000 × 10% - 210</v>
      </c>
      <c r="F11" s="35" t="s">
        <v>26</v>
      </c>
      <c r="G11" s="36"/>
      <c r="J11" s="61">
        <v>8</v>
      </c>
      <c r="K11" s="62">
        <f t="shared" si="2"/>
        <v>20000</v>
      </c>
      <c r="L11" s="63">
        <f>SUM($K$4:$K11)-$P$4*J11</f>
        <v>72000</v>
      </c>
      <c r="M11" s="63">
        <f>MAX(0,L11)*VLOOKUP(MAX(0,L11),Info!$A$1:$C$8,2,TRUE)-VLOOKUP(MAX(0,L11),Info!$A$1:$C$8,3,TRUE)</f>
        <v>4680</v>
      </c>
      <c r="N11" s="69">
        <f t="shared" si="0"/>
        <v>900</v>
      </c>
      <c r="O11" s="70">
        <f t="shared" si="1"/>
        <v>14600</v>
      </c>
      <c r="P11" s="72"/>
      <c r="T11" s="8"/>
      <c r="U11" s="10"/>
    </row>
    <row r="12" ht="20.4" spans="2:21">
      <c r="B12" s="16" t="s">
        <v>27</v>
      </c>
      <c r="C12" s="21">
        <f>MEDIAN($G$4,$G$25,$G$24)*$G29*12</f>
        <v>25200</v>
      </c>
      <c r="D12" s="18" t="str">
        <f>TEXT(MEDIAN($G$4,$G$25,$G$24),"0")&amp;" × "&amp;TEXT($G29,"0.0%")&amp;" × 12"</f>
        <v>20000 × 10.5% × 12</v>
      </c>
      <c r="F12" s="37" t="s">
        <v>3</v>
      </c>
      <c r="G12" s="38" t="s">
        <v>28</v>
      </c>
      <c r="J12" s="61">
        <v>9</v>
      </c>
      <c r="K12" s="62">
        <f t="shared" si="2"/>
        <v>20000</v>
      </c>
      <c r="L12" s="63">
        <f>SUM($K$4:$K12)-$P$4*J12</f>
        <v>81000</v>
      </c>
      <c r="M12" s="63">
        <f>MAX(0,L12)*VLOOKUP(MAX(0,L12),Info!$A$1:$C$8,2,TRUE)-VLOOKUP(MAX(0,L12),Info!$A$1:$C$8,3,TRUE)</f>
        <v>5580</v>
      </c>
      <c r="N12" s="69">
        <f t="shared" si="0"/>
        <v>900</v>
      </c>
      <c r="O12" s="70">
        <f t="shared" si="1"/>
        <v>14600</v>
      </c>
      <c r="P12" s="72"/>
      <c r="T12" s="8"/>
      <c r="U12" s="10"/>
    </row>
    <row r="13" ht="20.4" spans="2:21">
      <c r="B13" s="16" t="s">
        <v>29</v>
      </c>
      <c r="C13" s="21">
        <f>MEDIAN($G$4,$G$25,$G$24)*$G30*12</f>
        <v>19200</v>
      </c>
      <c r="D13" s="18" t="str">
        <f>TEXT(MEDIAN($G$4,$G$25,$G$24),"0")&amp;" × "&amp;TEXT($G30,"0.0%")&amp;" × 12"</f>
        <v>20000 × 8.0% × 12</v>
      </c>
      <c r="F13" s="39" t="s">
        <v>30</v>
      </c>
      <c r="G13" s="40" t="s">
        <v>31</v>
      </c>
      <c r="H13" s="41">
        <f>VLOOKUP(G13,Info!A29:B33,2,)</f>
        <v>0</v>
      </c>
      <c r="J13" s="61">
        <v>10</v>
      </c>
      <c r="K13" s="62">
        <f t="shared" si="2"/>
        <v>20000</v>
      </c>
      <c r="L13" s="63">
        <f>SUM($K$4:$K13)-$P$4*J13</f>
        <v>90000</v>
      </c>
      <c r="M13" s="63">
        <f>MAX(0,L13)*VLOOKUP(MAX(0,L13),Info!$A$1:$C$8,2,TRUE)-VLOOKUP(MAX(0,L13),Info!$A$1:$C$8,3,TRUE)</f>
        <v>6480</v>
      </c>
      <c r="N13" s="69">
        <f t="shared" si="0"/>
        <v>900</v>
      </c>
      <c r="O13" s="70">
        <f t="shared" si="1"/>
        <v>14600</v>
      </c>
      <c r="P13" s="72"/>
      <c r="T13" s="8"/>
      <c r="U13" s="10"/>
    </row>
    <row r="14" ht="20.4" spans="2:21">
      <c r="B14" s="16" t="s">
        <v>32</v>
      </c>
      <c r="C14" s="21">
        <f>MEDIAN($G$4,$G$25,$G$24)*$G31*12</f>
        <v>4800</v>
      </c>
      <c r="D14" s="18" t="str">
        <f>TEXT(MEDIAN($G$4,$G$25,$G$24),"0")&amp;" × "&amp;TEXT($G31,"0.0%")&amp;" × 12"</f>
        <v>20000 × 2.0% × 12</v>
      </c>
      <c r="F14" s="39" t="s">
        <v>33</v>
      </c>
      <c r="G14" s="40" t="s">
        <v>31</v>
      </c>
      <c r="H14" s="41">
        <f>VLOOKUP(G14,Info!C29:D30,2,)</f>
        <v>0</v>
      </c>
      <c r="J14" s="61">
        <v>11</v>
      </c>
      <c r="K14" s="62">
        <f t="shared" si="2"/>
        <v>20000</v>
      </c>
      <c r="L14" s="63">
        <f>SUM($K$4:$K14)-$P$4*J14</f>
        <v>99000</v>
      </c>
      <c r="M14" s="63">
        <f>MAX(0,L14)*VLOOKUP(MAX(0,L14),Info!$A$1:$C$8,2,TRUE)-VLOOKUP(MAX(0,L14),Info!$A$1:$C$8,3,TRUE)</f>
        <v>7380</v>
      </c>
      <c r="N14" s="69">
        <f t="shared" si="0"/>
        <v>900</v>
      </c>
      <c r="O14" s="70">
        <f t="shared" si="1"/>
        <v>14600</v>
      </c>
      <c r="P14" s="72"/>
      <c r="T14" s="8"/>
      <c r="U14" s="10"/>
    </row>
    <row r="15" ht="21.15" spans="2:21">
      <c r="B15" s="16" t="s">
        <v>34</v>
      </c>
      <c r="C15" s="21">
        <f>MEDIAN($G$4,$G$25,$G$24)*$G32*12</f>
        <v>1200</v>
      </c>
      <c r="D15" s="18" t="str">
        <f>TEXT(MEDIAN($G$4,$G$25,$G$24),"0")&amp;" × "&amp;TEXT($G32,"0.0%")&amp;" × 12"</f>
        <v>20000 × 0.5% × 12</v>
      </c>
      <c r="F15" s="39" t="s">
        <v>35</v>
      </c>
      <c r="G15" s="40" t="s">
        <v>31</v>
      </c>
      <c r="H15" s="41">
        <f>VLOOKUP(G15,Info!E29:F32,2,)</f>
        <v>0</v>
      </c>
      <c r="J15" s="64">
        <v>12</v>
      </c>
      <c r="K15" s="65">
        <f t="shared" si="2"/>
        <v>20000</v>
      </c>
      <c r="L15" s="66">
        <f>SUM($K$4:$K15)-$P$4*J15</f>
        <v>108000</v>
      </c>
      <c r="M15" s="66">
        <f>MAX(0,L15)*VLOOKUP(MAX(0,L15),Info!$A$1:$C$8,2,TRUE)-VLOOKUP(MAX(0,L15),Info!$A$1:$C$8,3,TRUE)</f>
        <v>8280</v>
      </c>
      <c r="N15" s="73">
        <f t="shared" si="0"/>
        <v>900</v>
      </c>
      <c r="O15" s="74">
        <f t="shared" si="1"/>
        <v>14600</v>
      </c>
      <c r="P15" s="75"/>
      <c r="T15" s="8"/>
      <c r="U15" s="10"/>
    </row>
    <row r="16" ht="20.4" spans="2:21">
      <c r="B16" s="16" t="s">
        <v>36</v>
      </c>
      <c r="C16" s="22">
        <f>MEDIAN(G4,G27,G26)*G9*12</f>
        <v>28800</v>
      </c>
      <c r="D16" s="18" t="str">
        <f>TEXT(MEDIAN(G4,2490,40694),"0")&amp;" × 12% × 12"</f>
        <v>20000 × 12% × 12</v>
      </c>
      <c r="F16" s="39" t="s">
        <v>37</v>
      </c>
      <c r="G16" s="40" t="s">
        <v>31</v>
      </c>
      <c r="H16" s="41">
        <f>VLOOKUP(G16,Info!G29:H31,2,)</f>
        <v>0</v>
      </c>
      <c r="K16" s="10"/>
      <c r="T16" s="8"/>
      <c r="U16" s="10"/>
    </row>
    <row r="17" ht="20.4" spans="2:21">
      <c r="B17" s="16"/>
      <c r="C17" s="19"/>
      <c r="D17" s="18"/>
      <c r="F17" s="39" t="s">
        <v>38</v>
      </c>
      <c r="G17" s="40" t="s">
        <v>39</v>
      </c>
      <c r="H17" s="41">
        <f>VLOOKUP(G17,Info!I29:J32,2,)</f>
        <v>1500</v>
      </c>
      <c r="T17" s="8"/>
      <c r="U17" s="10"/>
    </row>
    <row r="18" ht="21.15" spans="2:15">
      <c r="B18" s="23" t="s">
        <v>40</v>
      </c>
      <c r="C18" s="24">
        <f>C6-C13-C15+C16-C10-C11+C14</f>
        <v>330090</v>
      </c>
      <c r="D18" s="25" t="str">
        <f>TEXT(C6,"0")&amp;" - "&amp;TEXT(C12,"0")&amp;" + "&amp;TEXT(C16,"0")&amp;" - "&amp;TEXT(C10,"0")&amp;" - "&amp;TEXT(C11,"0")</f>
        <v>334400 - 25200 + 28800 - 9720 - 7790</v>
      </c>
      <c r="F18" s="39" t="s">
        <v>41</v>
      </c>
      <c r="G18" s="40" t="s">
        <v>31</v>
      </c>
      <c r="H18" s="41">
        <f>VLOOKUP(G18,Info!K29:L31,2,)</f>
        <v>0</v>
      </c>
      <c r="N18" s="10"/>
      <c r="O18" s="10"/>
    </row>
    <row r="19" spans="6:7">
      <c r="F19" s="39" t="s">
        <v>42</v>
      </c>
      <c r="G19" s="40">
        <v>0</v>
      </c>
    </row>
    <row r="20" ht="19.1" spans="6:7">
      <c r="F20" s="42" t="s">
        <v>43</v>
      </c>
      <c r="G20" s="43">
        <f>SUM(H13:H18)</f>
        <v>1500</v>
      </c>
    </row>
    <row r="21" ht="18.35"/>
    <row r="22" spans="3:7">
      <c r="C22" s="8">
        <f>C10+C11+C13+C15-C14-C16</f>
        <v>4310</v>
      </c>
      <c r="F22" s="44" t="s">
        <v>44</v>
      </c>
      <c r="G22" s="45"/>
    </row>
    <row r="23" spans="6:7">
      <c r="F23" s="46" t="s">
        <v>45</v>
      </c>
      <c r="G23" s="47" t="s">
        <v>4</v>
      </c>
    </row>
    <row r="24" spans="6:7">
      <c r="F24" s="48" t="s">
        <v>46</v>
      </c>
      <c r="G24" s="49">
        <v>25300</v>
      </c>
    </row>
    <row r="25" spans="6:7">
      <c r="F25" s="48" t="s">
        <v>47</v>
      </c>
      <c r="G25" s="49">
        <v>4986</v>
      </c>
    </row>
    <row r="26" spans="6:7">
      <c r="F26" s="48" t="s">
        <v>48</v>
      </c>
      <c r="G26" s="49">
        <v>40694</v>
      </c>
    </row>
    <row r="27" spans="6:7">
      <c r="F27" s="48" t="s">
        <v>49</v>
      </c>
      <c r="G27" s="49">
        <v>2490</v>
      </c>
    </row>
    <row r="28" spans="6:7">
      <c r="F28" s="48" t="s">
        <v>50</v>
      </c>
      <c r="G28" s="49">
        <v>60000</v>
      </c>
    </row>
    <row r="29" spans="6:7">
      <c r="F29" s="48" t="s">
        <v>51</v>
      </c>
      <c r="G29" s="50">
        <v>0.105</v>
      </c>
    </row>
    <row r="30" spans="6:7">
      <c r="F30" s="48" t="s">
        <v>52</v>
      </c>
      <c r="G30" s="51">
        <v>0.08</v>
      </c>
    </row>
    <row r="31" spans="6:7">
      <c r="F31" s="48" t="s">
        <v>53</v>
      </c>
      <c r="G31" s="51">
        <v>0.02</v>
      </c>
    </row>
    <row r="32" ht="18.35" spans="6:7">
      <c r="F32" s="52" t="s">
        <v>54</v>
      </c>
      <c r="G32" s="53">
        <v>0.005</v>
      </c>
    </row>
    <row r="33" spans="4:7">
      <c r="D33" s="8"/>
      <c r="F33" s="54"/>
      <c r="G33" s="55"/>
    </row>
    <row r="34" spans="4:7">
      <c r="D34" s="8"/>
      <c r="F34" s="54"/>
      <c r="G34" s="55"/>
    </row>
    <row r="35" spans="4:7">
      <c r="D35" s="8"/>
      <c r="F35" s="54"/>
      <c r="G35" s="55"/>
    </row>
    <row r="36" spans="4:7">
      <c r="D36" s="8"/>
      <c r="F36" s="54"/>
      <c r="G36" s="55"/>
    </row>
    <row r="37" spans="4:7">
      <c r="D37" s="8"/>
      <c r="F37" s="54"/>
      <c r="G37" s="55"/>
    </row>
    <row r="38" spans="4:4">
      <c r="D38" s="8"/>
    </row>
    <row r="39" spans="4:4">
      <c r="D39" s="8"/>
    </row>
    <row r="40" spans="4:4">
      <c r="D40" s="8"/>
    </row>
    <row r="41" spans="4:4">
      <c r="D41" s="8"/>
    </row>
    <row r="42" spans="4:4">
      <c r="D42" s="8"/>
    </row>
    <row r="43" spans="4:4">
      <c r="D43" s="8"/>
    </row>
    <row r="44" spans="4:4">
      <c r="D44" s="8"/>
    </row>
    <row r="45" spans="4:4">
      <c r="D45" s="8"/>
    </row>
    <row r="46" spans="4:4">
      <c r="D46" s="8"/>
    </row>
    <row r="47" spans="4:4">
      <c r="D47" s="8"/>
    </row>
    <row r="48" spans="4:4">
      <c r="D48" s="8"/>
    </row>
    <row r="49" spans="4:4">
      <c r="D49" s="8"/>
    </row>
    <row r="50" spans="4:4">
      <c r="D50" s="8"/>
    </row>
    <row r="51" spans="4:4">
      <c r="D51" s="8"/>
    </row>
  </sheetData>
  <mergeCells count="5">
    <mergeCell ref="B2:D2"/>
    <mergeCell ref="F2:G2"/>
    <mergeCell ref="J2:P2"/>
    <mergeCell ref="F11:G11"/>
    <mergeCell ref="F22:G22"/>
  </mergeCells>
  <dataValidations count="6">
    <dataValidation type="list" allowBlank="1" showInputMessage="1" showErrorMessage="1" sqref="G13">
      <formula1>#REF!</formula1>
    </dataValidation>
    <dataValidation type="list" allowBlank="1" showInputMessage="1" showErrorMessage="1" sqref="G14">
      <formula1>#REF!</formula1>
    </dataValidation>
    <dataValidation type="list" allowBlank="1" showInputMessage="1" showErrorMessage="1" sqref="G15">
      <formula1>#REF!</formula1>
    </dataValidation>
    <dataValidation type="list" allowBlank="1" showInputMessage="1" showErrorMessage="1" sqref="G16">
      <formula1>#REF!</formula1>
    </dataValidation>
    <dataValidation type="list" allowBlank="1" showInputMessage="1" showErrorMessage="1" sqref="G17">
      <formula1>#REF!</formula1>
    </dataValidation>
    <dataValidation type="list" allowBlank="1" showInputMessage="1" showErrorMessage="1" sqref="G18">
      <formula1>#REF!</formula1>
    </dataValidation>
  </dataValidation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F11" sqref="F11"/>
    </sheetView>
  </sheetViews>
  <sheetFormatPr defaultColWidth="9.16346153846154" defaultRowHeight="15.2"/>
  <cols>
    <col min="1" max="1" width="17.9423076923077" style="1" customWidth="1"/>
    <col min="2" max="2" width="13" style="1" customWidth="1"/>
    <col min="3" max="3" width="13.3365384615385" style="1" customWidth="1"/>
    <col min="4" max="5" width="9.16346153846154" style="2"/>
    <col min="6" max="6" width="23.2307692307692" style="2" customWidth="1"/>
    <col min="7" max="16384" width="9.16346153846154" style="2"/>
  </cols>
  <sheetData>
    <row r="1" spans="1:3">
      <c r="A1" s="3" t="s">
        <v>55</v>
      </c>
      <c r="B1" s="3" t="s">
        <v>56</v>
      </c>
      <c r="C1" s="3" t="s">
        <v>57</v>
      </c>
    </row>
    <row r="2" spans="1:3">
      <c r="A2" s="1">
        <v>0</v>
      </c>
      <c r="B2" s="4">
        <v>0.03</v>
      </c>
      <c r="C2" s="1">
        <v>0</v>
      </c>
    </row>
    <row r="3" spans="1:3">
      <c r="A3" s="1">
        <v>36000</v>
      </c>
      <c r="B3" s="4">
        <v>0.1</v>
      </c>
      <c r="C3" s="1">
        <v>2520</v>
      </c>
    </row>
    <row r="4" spans="1:3">
      <c r="A4" s="1">
        <v>144000</v>
      </c>
      <c r="B4" s="4">
        <v>0.2</v>
      </c>
      <c r="C4" s="1">
        <v>16920</v>
      </c>
    </row>
    <row r="5" spans="1:3">
      <c r="A5" s="1">
        <v>300000</v>
      </c>
      <c r="B5" s="4">
        <v>0.25</v>
      </c>
      <c r="C5" s="1">
        <v>31920</v>
      </c>
    </row>
    <row r="6" spans="1:3">
      <c r="A6" s="1">
        <v>420000</v>
      </c>
      <c r="B6" s="4">
        <v>0.3</v>
      </c>
      <c r="C6" s="1">
        <v>52920</v>
      </c>
    </row>
    <row r="7" spans="1:3">
      <c r="A7" s="1">
        <v>660000</v>
      </c>
      <c r="B7" s="4">
        <v>0.35</v>
      </c>
      <c r="C7" s="1">
        <v>85920</v>
      </c>
    </row>
    <row r="8" spans="1:3">
      <c r="A8" s="1">
        <v>960000</v>
      </c>
      <c r="B8" s="4">
        <v>0.45</v>
      </c>
      <c r="C8" s="1">
        <v>181920</v>
      </c>
    </row>
    <row r="11" spans="1:3">
      <c r="A11" s="3" t="s">
        <v>55</v>
      </c>
      <c r="B11" s="5" t="s">
        <v>56</v>
      </c>
      <c r="C11" s="5" t="s">
        <v>57</v>
      </c>
    </row>
    <row r="12" spans="1:3">
      <c r="A12" s="2">
        <v>0</v>
      </c>
      <c r="B12" s="6">
        <v>0.03</v>
      </c>
      <c r="C12" s="2">
        <v>0</v>
      </c>
    </row>
    <row r="13" spans="1:3">
      <c r="A13" s="2">
        <v>36000</v>
      </c>
      <c r="B13" s="6">
        <v>0.1</v>
      </c>
      <c r="C13" s="2">
        <v>210</v>
      </c>
    </row>
    <row r="14" spans="1:3">
      <c r="A14" s="2">
        <v>144000</v>
      </c>
      <c r="B14" s="6">
        <v>0.2</v>
      </c>
      <c r="C14" s="2">
        <v>1410</v>
      </c>
    </row>
    <row r="15" spans="1:3">
      <c r="A15" s="2">
        <v>300000</v>
      </c>
      <c r="B15" s="6">
        <v>0.25</v>
      </c>
      <c r="C15" s="2">
        <v>2660</v>
      </c>
    </row>
    <row r="16" spans="1:3">
      <c r="A16" s="2">
        <v>420000</v>
      </c>
      <c r="B16" s="6">
        <v>0.3</v>
      </c>
      <c r="C16" s="2">
        <v>4410</v>
      </c>
    </row>
    <row r="17" spans="1:3">
      <c r="A17" s="2">
        <v>660000</v>
      </c>
      <c r="B17" s="6">
        <v>0.35</v>
      </c>
      <c r="C17" s="2">
        <v>7160</v>
      </c>
    </row>
    <row r="18" spans="1:3">
      <c r="A18" s="2">
        <v>960000</v>
      </c>
      <c r="B18" s="6">
        <v>0.45</v>
      </c>
      <c r="C18" s="2">
        <v>15160</v>
      </c>
    </row>
    <row r="21" spans="2:6">
      <c r="B21" s="5" t="s">
        <v>58</v>
      </c>
      <c r="C21" s="5" t="s">
        <v>59</v>
      </c>
      <c r="D21" s="5" t="s">
        <v>60</v>
      </c>
      <c r="E21" s="5" t="s">
        <v>61</v>
      </c>
      <c r="F21" s="5" t="s">
        <v>62</v>
      </c>
    </row>
    <row r="22" spans="1:6">
      <c r="A22" s="3" t="s">
        <v>63</v>
      </c>
      <c r="B22" s="2">
        <v>35811</v>
      </c>
      <c r="C22" s="2">
        <v>37302</v>
      </c>
      <c r="D22" s="2">
        <v>27549</v>
      </c>
      <c r="E22" s="2">
        <v>27549</v>
      </c>
      <c r="F22" s="2">
        <v>25299</v>
      </c>
    </row>
    <row r="23" spans="1:6">
      <c r="A23" s="3" t="s">
        <v>64</v>
      </c>
      <c r="B23" s="2">
        <v>7162</v>
      </c>
      <c r="C23" s="2">
        <v>7460</v>
      </c>
      <c r="D23" s="2">
        <v>5510</v>
      </c>
      <c r="E23" s="2">
        <v>4775</v>
      </c>
      <c r="F23" s="2">
        <v>4986</v>
      </c>
    </row>
    <row r="24" spans="1:6">
      <c r="A24" s="3" t="s">
        <v>48</v>
      </c>
      <c r="B24" s="2">
        <v>35811</v>
      </c>
      <c r="C24" s="2">
        <v>37302</v>
      </c>
      <c r="D24" s="2">
        <v>39828</v>
      </c>
      <c r="E24" s="2">
        <v>44265</v>
      </c>
      <c r="F24" s="2">
        <v>40694</v>
      </c>
    </row>
    <row r="25" spans="1:6">
      <c r="A25" s="3" t="s">
        <v>49</v>
      </c>
      <c r="B25" s="2">
        <v>2540</v>
      </c>
      <c r="C25" s="2">
        <v>2690</v>
      </c>
      <c r="D25" s="2">
        <v>2500</v>
      </c>
      <c r="E25" s="2">
        <v>2360</v>
      </c>
      <c r="F25" s="2">
        <v>2490</v>
      </c>
    </row>
    <row r="28" spans="1:12">
      <c r="A28" s="7" t="s">
        <v>30</v>
      </c>
      <c r="B28" s="7" t="s">
        <v>4</v>
      </c>
      <c r="C28" s="7" t="s">
        <v>33</v>
      </c>
      <c r="D28" s="7" t="s">
        <v>4</v>
      </c>
      <c r="E28" s="7" t="s">
        <v>35</v>
      </c>
      <c r="F28" s="7" t="s">
        <v>4</v>
      </c>
      <c r="G28" s="7" t="s">
        <v>37</v>
      </c>
      <c r="H28" s="7" t="s">
        <v>4</v>
      </c>
      <c r="I28" s="7" t="s">
        <v>38</v>
      </c>
      <c r="J28" s="7" t="s">
        <v>4</v>
      </c>
      <c r="K28" s="7" t="s">
        <v>41</v>
      </c>
      <c r="L28" s="7" t="s">
        <v>4</v>
      </c>
    </row>
    <row r="29" spans="1:12">
      <c r="A29" s="5" t="s">
        <v>31</v>
      </c>
      <c r="B29" s="5">
        <v>0</v>
      </c>
      <c r="C29" s="5" t="s">
        <v>31</v>
      </c>
      <c r="D29" s="5">
        <v>0</v>
      </c>
      <c r="E29" s="5" t="s">
        <v>31</v>
      </c>
      <c r="F29" s="5">
        <v>0</v>
      </c>
      <c r="G29" s="5" t="s">
        <v>31</v>
      </c>
      <c r="H29" s="5">
        <v>0</v>
      </c>
      <c r="I29" s="5" t="s">
        <v>31</v>
      </c>
      <c r="J29" s="5">
        <v>0</v>
      </c>
      <c r="K29" s="5" t="s">
        <v>31</v>
      </c>
      <c r="L29" s="5">
        <v>0</v>
      </c>
    </row>
    <row r="30" spans="1:12">
      <c r="A30" s="5" t="s">
        <v>65</v>
      </c>
      <c r="B30" s="5">
        <v>1000</v>
      </c>
      <c r="C30" s="5" t="s">
        <v>66</v>
      </c>
      <c r="D30" s="5">
        <v>400</v>
      </c>
      <c r="E30" s="5" t="s">
        <v>67</v>
      </c>
      <c r="F30" s="5">
        <v>3000</v>
      </c>
      <c r="G30" s="5" t="s">
        <v>68</v>
      </c>
      <c r="H30" s="5">
        <v>500</v>
      </c>
      <c r="I30" s="5" t="s">
        <v>69</v>
      </c>
      <c r="J30" s="5">
        <v>800</v>
      </c>
      <c r="K30" s="5" t="s">
        <v>70</v>
      </c>
      <c r="L30" s="5">
        <v>2000</v>
      </c>
    </row>
    <row r="31" spans="1:12">
      <c r="A31" s="5" t="s">
        <v>71</v>
      </c>
      <c r="B31" s="5">
        <v>2000</v>
      </c>
      <c r="C31" s="5"/>
      <c r="D31" s="5"/>
      <c r="E31" s="5" t="s">
        <v>72</v>
      </c>
      <c r="F31" s="5">
        <v>1500</v>
      </c>
      <c r="G31" s="5" t="s">
        <v>73</v>
      </c>
      <c r="H31" s="5">
        <v>1000</v>
      </c>
      <c r="I31" s="5" t="s">
        <v>74</v>
      </c>
      <c r="J31" s="5">
        <v>1100</v>
      </c>
      <c r="K31" s="5" t="s">
        <v>75</v>
      </c>
      <c r="L31" s="5">
        <v>1000</v>
      </c>
    </row>
    <row r="32" spans="1:12">
      <c r="A32" s="5" t="s">
        <v>76</v>
      </c>
      <c r="B32" s="5">
        <v>2000</v>
      </c>
      <c r="C32" s="5"/>
      <c r="D32" s="5"/>
      <c r="E32" s="5" t="s">
        <v>77</v>
      </c>
      <c r="F32" s="5">
        <v>1000</v>
      </c>
      <c r="G32" s="5"/>
      <c r="H32" s="5"/>
      <c r="I32" s="5" t="s">
        <v>39</v>
      </c>
      <c r="J32" s="5">
        <v>1500</v>
      </c>
      <c r="K32" s="5"/>
      <c r="L32" s="5"/>
    </row>
    <row r="33" spans="1:12">
      <c r="A33" s="5" t="s">
        <v>78</v>
      </c>
      <c r="B33" s="5">
        <v>4000</v>
      </c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Annual salary calculator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Outstanding</cp:lastModifiedBy>
  <dcterms:created xsi:type="dcterms:W3CDTF">2025-12-02T11:46:00Z</dcterms:created>
  <dcterms:modified xsi:type="dcterms:W3CDTF">2026-06-22T23:40:13Z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5AD87F3B44A5C5225D57396A24DB027A_43</vt:lpwstr>
  </property>
  <property fmtid="{D5CDD505-2E9C-101B-9397-08002B2CF9AE}" pid="3" name="KSOProductBuildVer">
    <vt:lpwstr>2052-7.2.2.8955</vt:lpwstr>
  </property>
</Properties>
</file>